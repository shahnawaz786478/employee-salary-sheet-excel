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employee salary sheet" sheetId="5" r:id="rId1"/>
  </sheets>
  <calcPr calcId="152511"/>
</workbook>
</file>

<file path=xl/calcChain.xml><?xml version="1.0" encoding="utf-8"?>
<calcChain xmlns="http://schemas.openxmlformats.org/spreadsheetml/2006/main">
  <c r="O5" i="5" l="1"/>
  <c r="O6" i="5"/>
  <c r="O7" i="5"/>
  <c r="O8" i="5"/>
  <c r="O9" i="5"/>
  <c r="O10" i="5"/>
  <c r="O11" i="5"/>
  <c r="O12" i="5"/>
  <c r="O13" i="5"/>
  <c r="O14" i="5"/>
  <c r="O15" i="5"/>
  <c r="O16" i="5"/>
  <c r="O17" i="5"/>
  <c r="O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4" i="5"/>
</calcChain>
</file>

<file path=xl/sharedStrings.xml><?xml version="1.0" encoding="utf-8"?>
<sst xmlns="http://schemas.openxmlformats.org/spreadsheetml/2006/main" count="44" uniqueCount="37">
  <si>
    <t>ID NO</t>
  </si>
  <si>
    <t>NAME</t>
  </si>
  <si>
    <t>DESIGNATION</t>
  </si>
  <si>
    <t>BASIC SALARY</t>
  </si>
  <si>
    <t>SALARY</t>
  </si>
  <si>
    <t>HRA</t>
  </si>
  <si>
    <t>D.A</t>
  </si>
  <si>
    <t>CONVINIENCE</t>
  </si>
  <si>
    <t>OVERTIME IN HRS</t>
  </si>
  <si>
    <t>OVERTIME SALARY</t>
  </si>
  <si>
    <t>GROSS SALARY</t>
  </si>
  <si>
    <t>PF</t>
  </si>
  <si>
    <t>ESI</t>
  </si>
  <si>
    <t>IN HAND SALARY</t>
  </si>
  <si>
    <r>
      <t xml:space="preserve">SHAKIL STORE
</t>
    </r>
    <r>
      <rPr>
        <sz val="14"/>
        <color theme="9" tint="-0.499984740745262"/>
        <rFont val="Times New Roman"/>
        <family val="1"/>
      </rPr>
      <t>SALARY SHEET</t>
    </r>
    <r>
      <rPr>
        <sz val="14"/>
        <color theme="1" tint="4.9989318521683403E-2"/>
        <rFont val="Times New Roman"/>
        <family val="1"/>
      </rPr>
      <t xml:space="preserve"> OF JANUARY 2026</t>
    </r>
  </si>
  <si>
    <t>SHAHNAWAZ</t>
  </si>
  <si>
    <t>SHAHID</t>
  </si>
  <si>
    <t>SHAMIM</t>
  </si>
  <si>
    <t>FAIZAN</t>
  </si>
  <si>
    <t>QASIM</t>
  </si>
  <si>
    <t>ASIM</t>
  </si>
  <si>
    <t>NIZAM</t>
  </si>
  <si>
    <t>GULFAM</t>
  </si>
  <si>
    <t>GHAZANFAR</t>
  </si>
  <si>
    <t>IMRAN</t>
  </si>
  <si>
    <t>ARBAZ</t>
  </si>
  <si>
    <t>FARDEEN</t>
  </si>
  <si>
    <t>FAHIM</t>
  </si>
  <si>
    <t>MOHSIN</t>
  </si>
  <si>
    <t>SENIOR MANAGER</t>
  </si>
  <si>
    <t>ASSITANT MANAGER</t>
  </si>
  <si>
    <t>SUPERVISOR</t>
  </si>
  <si>
    <t>HR</t>
  </si>
  <si>
    <t>RECEPTIONIST</t>
  </si>
  <si>
    <t>PERSONAL ASSISTANT</t>
  </si>
  <si>
    <t>SECURITY GUARD</t>
  </si>
  <si>
    <t>ATTENDENCE(30 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</si>
</sst>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&quot; HRS&quot;"/>
  </numFmts>
  <fonts count="3" x14ac:knownFonts="1">
    <font>
      <sz val="11"/>
      <color theme="1"/>
      <name val="Calibri"/>
      <family val="2"/>
      <scheme val="minor"/>
    </font>
    <font>
      <sz val="14"/>
      <color theme="1" tint="4.9989318521683403E-2"/>
      <name val="Times New Roman"/>
      <family val="1"/>
    </font>
    <font>
      <sz val="14"/>
      <color theme="9" tint="-0.49998474074526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" fontId="0" fillId="0" borderId="1" xfId="0" applyNumberFormat="1" applyBorder="1"/>
    <xf numFmtId="164" fontId="0" fillId="0" borderId="1" xfId="0" applyNumberFormat="1" applyBorder="1"/>
    <xf numFmtId="0" fontId="0" fillId="3" borderId="0" xfId="0" applyFill="1" applyAlignment="1"/>
    <xf numFmtId="0" fontId="0" fillId="3" borderId="0" xfId="0" applyFill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008000"/>
      <color rgb="FFC4CD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tabSelected="1" zoomScale="89" zoomScaleNormal="89" workbookViewId="0">
      <selection activeCell="O4" sqref="O4"/>
    </sheetView>
  </sheetViews>
  <sheetFormatPr defaultRowHeight="15" x14ac:dyDescent="0.25"/>
  <cols>
    <col min="2" max="2" width="12.7109375" bestFit="1" customWidth="1"/>
    <col min="3" max="3" width="20.5703125" bestFit="1" customWidth="1"/>
    <col min="4" max="4" width="13.28515625" bestFit="1" customWidth="1"/>
    <col min="5" max="5" width="21.42578125" bestFit="1" customWidth="1"/>
    <col min="9" max="9" width="13.5703125" bestFit="1" customWidth="1"/>
    <col min="10" max="10" width="16.5703125" bestFit="1" customWidth="1"/>
    <col min="11" max="11" width="17.42578125" bestFit="1" customWidth="1"/>
    <col min="12" max="12" width="14" bestFit="1" customWidth="1"/>
    <col min="15" max="15" width="15.85546875" bestFit="1" customWidth="1"/>
  </cols>
  <sheetData>
    <row r="1" spans="1:15" x14ac:dyDescent="0.25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31.5" customHeight="1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spans="1:15" x14ac:dyDescent="0.25">
      <c r="A3" s="5" t="s">
        <v>0</v>
      </c>
      <c r="B3" s="4" t="s">
        <v>1</v>
      </c>
      <c r="C3" s="4" t="s">
        <v>2</v>
      </c>
      <c r="D3" s="4" t="s">
        <v>3</v>
      </c>
      <c r="E3" s="4" t="s">
        <v>36</v>
      </c>
      <c r="F3" s="4" t="s">
        <v>4</v>
      </c>
      <c r="G3" s="4" t="s">
        <v>5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13</v>
      </c>
    </row>
    <row r="4" spans="1:15" x14ac:dyDescent="0.25">
      <c r="A4" s="1">
        <v>1001</v>
      </c>
      <c r="B4" s="1" t="s">
        <v>15</v>
      </c>
      <c r="C4" s="1" t="s">
        <v>29</v>
      </c>
      <c r="D4" s="1">
        <v>100000</v>
      </c>
      <c r="E4" s="1">
        <v>30</v>
      </c>
      <c r="F4" s="1">
        <f>D4/30*E4</f>
        <v>100000</v>
      </c>
      <c r="G4" s="1">
        <v>10000</v>
      </c>
      <c r="H4" s="1">
        <v>5000</v>
      </c>
      <c r="I4" s="1">
        <v>6000</v>
      </c>
      <c r="J4" s="3">
        <v>50</v>
      </c>
      <c r="K4" s="2">
        <f>D4/E4/8*J4</f>
        <v>20833.333333333336</v>
      </c>
      <c r="L4" s="2">
        <f>F4+G4+H4+I4+K4</f>
        <v>141833.33333333334</v>
      </c>
      <c r="M4" s="1">
        <f>D4*12%</f>
        <v>12000</v>
      </c>
      <c r="N4" s="2">
        <f>D4*0.75%</f>
        <v>750</v>
      </c>
      <c r="O4" s="2">
        <f>L4-(M4+N4)</f>
        <v>129083.33333333334</v>
      </c>
    </row>
    <row r="5" spans="1:15" x14ac:dyDescent="0.25">
      <c r="A5" s="1">
        <v>1002</v>
      </c>
      <c r="B5" s="1" t="s">
        <v>16</v>
      </c>
      <c r="C5" s="1" t="s">
        <v>30</v>
      </c>
      <c r="D5" s="1">
        <v>80000</v>
      </c>
      <c r="E5" s="1">
        <v>25</v>
      </c>
      <c r="F5" s="2">
        <f t="shared" ref="F5:F17" si="0">D5/30*E5</f>
        <v>66666.666666666657</v>
      </c>
      <c r="G5" s="1">
        <v>9000</v>
      </c>
      <c r="H5" s="1">
        <v>4000</v>
      </c>
      <c r="I5" s="1">
        <v>5000</v>
      </c>
      <c r="J5" s="3">
        <v>30</v>
      </c>
      <c r="K5" s="2">
        <f t="shared" ref="K5:K17" si="1">D5/E5/8*J5</f>
        <v>12000</v>
      </c>
      <c r="L5" s="2">
        <f t="shared" ref="L5:L17" si="2">F5+G5+H5+I5+K5</f>
        <v>96666.666666666657</v>
      </c>
      <c r="M5" s="1">
        <f t="shared" ref="M5:M17" si="3">D5*12%</f>
        <v>9600</v>
      </c>
      <c r="N5" s="2">
        <f t="shared" ref="N5:N17" si="4">D5*0.75%</f>
        <v>600</v>
      </c>
      <c r="O5" s="2">
        <f t="shared" ref="O5:O17" si="5">L5-(M5+N5)</f>
        <v>86466.666666666657</v>
      </c>
    </row>
    <row r="6" spans="1:15" x14ac:dyDescent="0.25">
      <c r="A6" s="1">
        <v>1003</v>
      </c>
      <c r="B6" s="1" t="s">
        <v>17</v>
      </c>
      <c r="C6" s="1" t="s">
        <v>31</v>
      </c>
      <c r="D6" s="1">
        <v>50000</v>
      </c>
      <c r="E6" s="1">
        <v>29</v>
      </c>
      <c r="F6" s="2">
        <f t="shared" si="0"/>
        <v>48333.333333333336</v>
      </c>
      <c r="G6" s="1">
        <v>5000</v>
      </c>
      <c r="H6" s="1">
        <v>3000</v>
      </c>
      <c r="I6" s="1">
        <v>4000</v>
      </c>
      <c r="J6" s="3">
        <v>45</v>
      </c>
      <c r="K6" s="2">
        <f t="shared" si="1"/>
        <v>9698.2758620689656</v>
      </c>
      <c r="L6" s="2">
        <f t="shared" si="2"/>
        <v>70031.6091954023</v>
      </c>
      <c r="M6" s="1">
        <f t="shared" si="3"/>
        <v>6000</v>
      </c>
      <c r="N6" s="2">
        <f t="shared" si="4"/>
        <v>375</v>
      </c>
      <c r="O6" s="2">
        <f t="shared" si="5"/>
        <v>63656.6091954023</v>
      </c>
    </row>
    <row r="7" spans="1:15" x14ac:dyDescent="0.25">
      <c r="A7" s="1">
        <v>1004</v>
      </c>
      <c r="B7" s="1" t="s">
        <v>18</v>
      </c>
      <c r="C7" s="1" t="s">
        <v>32</v>
      </c>
      <c r="D7" s="1">
        <v>75000</v>
      </c>
      <c r="E7" s="1">
        <v>22</v>
      </c>
      <c r="F7" s="2">
        <f t="shared" si="0"/>
        <v>55000</v>
      </c>
      <c r="G7" s="1">
        <v>4500</v>
      </c>
      <c r="H7" s="1">
        <v>3000</v>
      </c>
      <c r="I7" s="1">
        <v>3000</v>
      </c>
      <c r="J7" s="3">
        <v>60</v>
      </c>
      <c r="K7" s="2">
        <f t="shared" si="1"/>
        <v>25568.181818181816</v>
      </c>
      <c r="L7" s="2">
        <f t="shared" si="2"/>
        <v>91068.181818181823</v>
      </c>
      <c r="M7" s="1">
        <f t="shared" si="3"/>
        <v>9000</v>
      </c>
      <c r="N7" s="2">
        <f t="shared" si="4"/>
        <v>562.5</v>
      </c>
      <c r="O7" s="2">
        <f t="shared" si="5"/>
        <v>81505.681818181823</v>
      </c>
    </row>
    <row r="8" spans="1:15" x14ac:dyDescent="0.25">
      <c r="A8" s="1">
        <v>1005</v>
      </c>
      <c r="B8" s="1" t="s">
        <v>19</v>
      </c>
      <c r="C8" s="1" t="s">
        <v>33</v>
      </c>
      <c r="D8" s="1">
        <v>20000</v>
      </c>
      <c r="E8" s="1">
        <v>19</v>
      </c>
      <c r="F8" s="2">
        <f t="shared" si="0"/>
        <v>12666.666666666666</v>
      </c>
      <c r="G8" s="1">
        <v>3000</v>
      </c>
      <c r="H8" s="1">
        <v>2000</v>
      </c>
      <c r="I8" s="1">
        <v>2000</v>
      </c>
      <c r="J8" s="3">
        <v>55</v>
      </c>
      <c r="K8" s="2">
        <f t="shared" si="1"/>
        <v>7236.8421052631575</v>
      </c>
      <c r="L8" s="2">
        <f t="shared" si="2"/>
        <v>26903.508771929821</v>
      </c>
      <c r="M8" s="1">
        <f t="shared" si="3"/>
        <v>2400</v>
      </c>
      <c r="N8" s="2">
        <f t="shared" si="4"/>
        <v>150</v>
      </c>
      <c r="O8" s="2">
        <f t="shared" si="5"/>
        <v>24353.508771929821</v>
      </c>
    </row>
    <row r="9" spans="1:15" x14ac:dyDescent="0.25">
      <c r="A9" s="1">
        <v>1006</v>
      </c>
      <c r="B9" s="1" t="s">
        <v>20</v>
      </c>
      <c r="C9" s="1" t="s">
        <v>34</v>
      </c>
      <c r="D9" s="1">
        <v>60000</v>
      </c>
      <c r="E9" s="1">
        <v>30</v>
      </c>
      <c r="F9" s="1">
        <f t="shared" si="0"/>
        <v>60000</v>
      </c>
      <c r="G9" s="1">
        <v>3000</v>
      </c>
      <c r="H9" s="1">
        <v>2000</v>
      </c>
      <c r="I9" s="1">
        <v>1000</v>
      </c>
      <c r="J9" s="3">
        <v>35</v>
      </c>
      <c r="K9" s="2">
        <f t="shared" si="1"/>
        <v>8750</v>
      </c>
      <c r="L9" s="2">
        <f t="shared" si="2"/>
        <v>74750</v>
      </c>
      <c r="M9" s="1">
        <f t="shared" si="3"/>
        <v>7200</v>
      </c>
      <c r="N9" s="2">
        <f t="shared" si="4"/>
        <v>450</v>
      </c>
      <c r="O9" s="2">
        <f t="shared" si="5"/>
        <v>67100</v>
      </c>
    </row>
    <row r="10" spans="1:15" x14ac:dyDescent="0.25">
      <c r="A10" s="1">
        <v>1007</v>
      </c>
      <c r="B10" s="1" t="s">
        <v>21</v>
      </c>
      <c r="C10" s="1" t="s">
        <v>35</v>
      </c>
      <c r="D10" s="1">
        <v>15000</v>
      </c>
      <c r="E10" s="1">
        <v>12</v>
      </c>
      <c r="F10" s="1">
        <f t="shared" si="0"/>
        <v>6000</v>
      </c>
      <c r="G10" s="1">
        <v>2500</v>
      </c>
      <c r="H10" s="1">
        <v>1000</v>
      </c>
      <c r="I10" s="1">
        <v>500</v>
      </c>
      <c r="J10" s="3">
        <v>29</v>
      </c>
      <c r="K10" s="2">
        <f t="shared" si="1"/>
        <v>4531.25</v>
      </c>
      <c r="L10" s="2">
        <f t="shared" si="2"/>
        <v>14531.25</v>
      </c>
      <c r="M10" s="1">
        <f t="shared" si="3"/>
        <v>1800</v>
      </c>
      <c r="N10" s="2">
        <f t="shared" si="4"/>
        <v>112.5</v>
      </c>
      <c r="O10" s="2">
        <f t="shared" si="5"/>
        <v>12618.75</v>
      </c>
    </row>
    <row r="11" spans="1:15" x14ac:dyDescent="0.25">
      <c r="A11" s="1">
        <v>1008</v>
      </c>
      <c r="B11" s="1" t="s">
        <v>22</v>
      </c>
      <c r="C11" s="1" t="s">
        <v>35</v>
      </c>
      <c r="D11" s="1">
        <v>15000</v>
      </c>
      <c r="E11" s="1">
        <v>10</v>
      </c>
      <c r="F11" s="1">
        <f t="shared" si="0"/>
        <v>5000</v>
      </c>
      <c r="G11" s="1">
        <v>2500</v>
      </c>
      <c r="H11" s="1">
        <v>1000</v>
      </c>
      <c r="I11" s="1">
        <v>500</v>
      </c>
      <c r="J11" s="3">
        <v>98</v>
      </c>
      <c r="K11" s="2">
        <f t="shared" si="1"/>
        <v>18375</v>
      </c>
      <c r="L11" s="2">
        <f t="shared" si="2"/>
        <v>27375</v>
      </c>
      <c r="M11" s="1">
        <f t="shared" si="3"/>
        <v>1800</v>
      </c>
      <c r="N11" s="2">
        <f t="shared" si="4"/>
        <v>112.5</v>
      </c>
      <c r="O11" s="2">
        <f t="shared" si="5"/>
        <v>25462.5</v>
      </c>
    </row>
    <row r="12" spans="1:15" x14ac:dyDescent="0.25">
      <c r="A12" s="1">
        <v>1009</v>
      </c>
      <c r="B12" s="1" t="s">
        <v>23</v>
      </c>
      <c r="C12" s="1" t="s">
        <v>35</v>
      </c>
      <c r="D12" s="1">
        <v>15000</v>
      </c>
      <c r="E12" s="1">
        <v>5</v>
      </c>
      <c r="F12" s="1">
        <f t="shared" si="0"/>
        <v>2500</v>
      </c>
      <c r="G12" s="1">
        <v>2500</v>
      </c>
      <c r="H12" s="1">
        <v>1000</v>
      </c>
      <c r="I12" s="1">
        <v>500</v>
      </c>
      <c r="J12" s="3">
        <v>120</v>
      </c>
      <c r="K12" s="2">
        <f t="shared" si="1"/>
        <v>45000</v>
      </c>
      <c r="L12" s="2">
        <f t="shared" si="2"/>
        <v>51500</v>
      </c>
      <c r="M12" s="1">
        <f t="shared" si="3"/>
        <v>1800</v>
      </c>
      <c r="N12" s="2">
        <f t="shared" si="4"/>
        <v>112.5</v>
      </c>
      <c r="O12" s="2">
        <f t="shared" si="5"/>
        <v>49587.5</v>
      </c>
    </row>
    <row r="13" spans="1:15" x14ac:dyDescent="0.25">
      <c r="A13" s="1">
        <v>1010</v>
      </c>
      <c r="B13" s="1" t="s">
        <v>24</v>
      </c>
      <c r="C13" s="1" t="s">
        <v>35</v>
      </c>
      <c r="D13" s="1">
        <v>15000</v>
      </c>
      <c r="E13" s="1">
        <v>16</v>
      </c>
      <c r="F13" s="1">
        <f t="shared" si="0"/>
        <v>8000</v>
      </c>
      <c r="G13" s="1">
        <v>2500</v>
      </c>
      <c r="H13" s="1">
        <v>1000</v>
      </c>
      <c r="I13" s="1">
        <v>500</v>
      </c>
      <c r="J13" s="3">
        <v>34</v>
      </c>
      <c r="K13" s="2">
        <f t="shared" si="1"/>
        <v>3984.375</v>
      </c>
      <c r="L13" s="2">
        <f t="shared" si="2"/>
        <v>15984.375</v>
      </c>
      <c r="M13" s="1">
        <f t="shared" si="3"/>
        <v>1800</v>
      </c>
      <c r="N13" s="2">
        <f t="shared" si="4"/>
        <v>112.5</v>
      </c>
      <c r="O13" s="2">
        <f t="shared" si="5"/>
        <v>14071.875</v>
      </c>
    </row>
    <row r="14" spans="1:15" x14ac:dyDescent="0.25">
      <c r="A14" s="1">
        <v>1011</v>
      </c>
      <c r="B14" s="1" t="s">
        <v>25</v>
      </c>
      <c r="C14" s="1" t="s">
        <v>35</v>
      </c>
      <c r="D14" s="1">
        <v>15000</v>
      </c>
      <c r="E14" s="1">
        <v>11</v>
      </c>
      <c r="F14" s="1">
        <f t="shared" si="0"/>
        <v>5500</v>
      </c>
      <c r="G14" s="1">
        <v>2500</v>
      </c>
      <c r="H14" s="1">
        <v>1000</v>
      </c>
      <c r="I14" s="1">
        <v>500</v>
      </c>
      <c r="J14" s="3">
        <v>66</v>
      </c>
      <c r="K14" s="2">
        <f t="shared" si="1"/>
        <v>11250</v>
      </c>
      <c r="L14" s="2">
        <f t="shared" si="2"/>
        <v>20750</v>
      </c>
      <c r="M14" s="1">
        <f t="shared" si="3"/>
        <v>1800</v>
      </c>
      <c r="N14" s="2">
        <f t="shared" si="4"/>
        <v>112.5</v>
      </c>
      <c r="O14" s="2">
        <f t="shared" si="5"/>
        <v>18837.5</v>
      </c>
    </row>
    <row r="15" spans="1:15" x14ac:dyDescent="0.25">
      <c r="A15" s="1">
        <v>1012</v>
      </c>
      <c r="B15" s="1" t="s">
        <v>26</v>
      </c>
      <c r="C15" s="1" t="s">
        <v>35</v>
      </c>
      <c r="D15" s="1">
        <v>15000</v>
      </c>
      <c r="E15" s="1">
        <v>5</v>
      </c>
      <c r="F15" s="1">
        <f t="shared" si="0"/>
        <v>2500</v>
      </c>
      <c r="G15" s="1">
        <v>2500</v>
      </c>
      <c r="H15" s="1">
        <v>1000</v>
      </c>
      <c r="I15" s="1">
        <v>500</v>
      </c>
      <c r="J15" s="3">
        <v>87</v>
      </c>
      <c r="K15" s="2">
        <f t="shared" si="1"/>
        <v>32625</v>
      </c>
      <c r="L15" s="2">
        <f t="shared" si="2"/>
        <v>39125</v>
      </c>
      <c r="M15" s="1">
        <f t="shared" si="3"/>
        <v>1800</v>
      </c>
      <c r="N15" s="2">
        <f t="shared" si="4"/>
        <v>112.5</v>
      </c>
      <c r="O15" s="2">
        <f t="shared" si="5"/>
        <v>37212.5</v>
      </c>
    </row>
    <row r="16" spans="1:15" x14ac:dyDescent="0.25">
      <c r="A16" s="1">
        <v>1013</v>
      </c>
      <c r="B16" s="1" t="s">
        <v>27</v>
      </c>
      <c r="C16" s="1" t="s">
        <v>35</v>
      </c>
      <c r="D16" s="1">
        <v>15000</v>
      </c>
      <c r="E16" s="1">
        <v>3</v>
      </c>
      <c r="F16" s="1">
        <f t="shared" si="0"/>
        <v>1500</v>
      </c>
      <c r="G16" s="1">
        <v>2500</v>
      </c>
      <c r="H16" s="1">
        <v>1000</v>
      </c>
      <c r="I16" s="1">
        <v>500</v>
      </c>
      <c r="J16" s="3">
        <v>88</v>
      </c>
      <c r="K16" s="2">
        <f t="shared" si="1"/>
        <v>55000</v>
      </c>
      <c r="L16" s="2">
        <f t="shared" si="2"/>
        <v>60500</v>
      </c>
      <c r="M16" s="1">
        <f t="shared" si="3"/>
        <v>1800</v>
      </c>
      <c r="N16" s="2">
        <f t="shared" si="4"/>
        <v>112.5</v>
      </c>
      <c r="O16" s="2">
        <f t="shared" si="5"/>
        <v>58587.5</v>
      </c>
    </row>
    <row r="17" spans="1:15" x14ac:dyDescent="0.25">
      <c r="A17" s="1">
        <v>1014</v>
      </c>
      <c r="B17" s="1" t="s">
        <v>28</v>
      </c>
      <c r="C17" s="1" t="s">
        <v>35</v>
      </c>
      <c r="D17" s="1">
        <v>15000</v>
      </c>
      <c r="E17" s="1">
        <v>17</v>
      </c>
      <c r="F17" s="1">
        <f t="shared" si="0"/>
        <v>8500</v>
      </c>
      <c r="G17" s="1">
        <v>2500</v>
      </c>
      <c r="H17" s="1">
        <v>1000</v>
      </c>
      <c r="I17" s="1">
        <v>500</v>
      </c>
      <c r="J17" s="3">
        <v>90</v>
      </c>
      <c r="K17" s="2">
        <f t="shared" si="1"/>
        <v>9926.4705882352937</v>
      </c>
      <c r="L17" s="2">
        <f t="shared" si="2"/>
        <v>22426.470588235294</v>
      </c>
      <c r="M17" s="1">
        <f t="shared" si="3"/>
        <v>1800</v>
      </c>
      <c r="N17" s="2">
        <f t="shared" si="4"/>
        <v>112.5</v>
      </c>
      <c r="O17" s="2">
        <f t="shared" si="5"/>
        <v>20513.970588235294</v>
      </c>
    </row>
  </sheetData>
  <mergeCells count="1">
    <mergeCell ref="A1:O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salary 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2026-02-01T11:28:55Z</dcterms:modified>
</cp:coreProperties>
</file>